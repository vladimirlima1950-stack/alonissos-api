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ashboard\alonissos\AAAAAA_novissimo\alonissos-api\pipeline\templates\"/>
    </mc:Choice>
  </mc:AlternateContent>
  <xr:revisionPtr revIDLastSave="0" documentId="13_ncr:1_{B26A4F8C-F9C7-4046-95DD-7657B69D4742}" xr6:coauthVersionLast="47" xr6:coauthVersionMax="47" xr10:uidLastSave="{00000000-0000-0000-0000-000000000000}"/>
  <bookViews>
    <workbookView xWindow="-108" yWindow="-108" windowWidth="23256" windowHeight="12456" activeTab="1" xr2:uid="{87F32D68-C7BE-44F3-B84C-3143EB0CF62A}"/>
  </bookViews>
  <sheets>
    <sheet name="escolha_do_sku" sheetId="2" r:id="rId1"/>
    <sheet name="grafic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BD2" i="1"/>
  <c r="BC2" i="1"/>
  <c r="BB2" i="1"/>
  <c r="BA2" i="1"/>
  <c r="AZ2" i="1"/>
  <c r="AL8" i="1" s="1"/>
  <c r="AY2" i="1"/>
  <c r="AX2" i="1"/>
  <c r="AJ8" i="1" s="1"/>
  <c r="AW2" i="1"/>
  <c r="AI8" i="1" s="1"/>
  <c r="AV2" i="1"/>
  <c r="AH8" i="1" s="1"/>
  <c r="AU2" i="1"/>
  <c r="AG8" i="1" s="1"/>
  <c r="AT2" i="1"/>
  <c r="AF8" i="1" s="1"/>
  <c r="AS2" i="1"/>
  <c r="AR2" i="1"/>
  <c r="AD8" i="1" s="1"/>
  <c r="AQ2" i="1"/>
  <c r="AC8" i="1" s="1"/>
  <c r="AP2" i="1"/>
  <c r="AB8" i="1" s="1"/>
  <c r="AO2" i="1"/>
  <c r="AN2" i="1"/>
  <c r="AM2" i="1"/>
  <c r="AL2" i="1"/>
  <c r="AK2" i="1"/>
  <c r="AJ2" i="1"/>
  <c r="AJ7" i="1" s="1"/>
  <c r="AI2" i="1"/>
  <c r="AH2" i="1"/>
  <c r="AH7" i="1" s="1"/>
  <c r="AG2" i="1"/>
  <c r="AF2" i="1"/>
  <c r="AF7" i="1" s="1"/>
  <c r="AE2" i="1"/>
  <c r="AD2" i="1"/>
  <c r="AC2" i="1"/>
  <c r="AB2" i="1"/>
  <c r="AA2" i="1"/>
  <c r="Z2" i="1"/>
  <c r="Z6" i="1" s="1"/>
  <c r="Y2" i="1"/>
  <c r="Y6" i="1" s="1"/>
  <c r="X2" i="1"/>
  <c r="X6" i="1" s="1"/>
  <c r="W2" i="1"/>
  <c r="V2" i="1"/>
  <c r="U2" i="1"/>
  <c r="T2" i="1"/>
  <c r="T6" i="1" s="1"/>
  <c r="S2" i="1"/>
  <c r="R2" i="1"/>
  <c r="R6" i="1" s="1"/>
  <c r="Q2" i="1"/>
  <c r="P2" i="1"/>
  <c r="O2" i="1"/>
  <c r="N2" i="1"/>
  <c r="M2" i="1"/>
  <c r="L2" i="1"/>
  <c r="K2" i="1"/>
  <c r="J2" i="1"/>
  <c r="J5" i="1" s="1"/>
  <c r="I2" i="1"/>
  <c r="I5" i="1" s="1"/>
  <c r="H2" i="1"/>
  <c r="H5" i="1" s="1"/>
  <c r="G2" i="1"/>
  <c r="F2" i="1"/>
  <c r="E2" i="1"/>
  <c r="D2" i="1"/>
  <c r="D5" i="1" s="1"/>
  <c r="C2" i="1"/>
  <c r="B2" i="1"/>
  <c r="AE8" i="1"/>
  <c r="AK8" i="1"/>
  <c r="AM8" i="1"/>
  <c r="AC7" i="1"/>
  <c r="AD7" i="1"/>
  <c r="AE7" i="1"/>
  <c r="AG7" i="1"/>
  <c r="AI7" i="1"/>
  <c r="AK7" i="1"/>
  <c r="AL7" i="1"/>
  <c r="AM7" i="1"/>
  <c r="AM9" i="1" s="1"/>
  <c r="AB7" i="1"/>
  <c r="Q6" i="1"/>
  <c r="S6" i="1"/>
  <c r="U6" i="1"/>
  <c r="V6" i="1"/>
  <c r="W6" i="1"/>
  <c r="AA6" i="1"/>
  <c r="AA7" i="1" s="1"/>
  <c r="P6" i="1"/>
  <c r="E5" i="1"/>
  <c r="F5" i="1"/>
  <c r="G5" i="1"/>
  <c r="K5" i="1"/>
  <c r="L5" i="1"/>
  <c r="M5" i="1"/>
  <c r="N5" i="1"/>
  <c r="O5" i="1"/>
  <c r="O6" i="1" s="1"/>
  <c r="AE9" i="1" l="1"/>
  <c r="AB9" i="1"/>
  <c r="AG9" i="1"/>
  <c r="AL9" i="1"/>
  <c r="AD9" i="1"/>
  <c r="AK9" i="1"/>
  <c r="AJ9" i="1"/>
  <c r="AC9" i="1"/>
  <c r="AI9" i="1"/>
  <c r="AH9" i="1"/>
  <c r="AF9" i="1"/>
</calcChain>
</file>

<file path=xl/sharedStrings.xml><?xml version="1.0" encoding="utf-8"?>
<sst xmlns="http://schemas.openxmlformats.org/spreadsheetml/2006/main" count="123" uniqueCount="64">
  <si>
    <t>sku</t>
  </si>
  <si>
    <t>estoque_atual</t>
  </si>
  <si>
    <t>leadtime_dias</t>
  </si>
  <si>
    <t>custo_unitario</t>
  </si>
  <si>
    <t>A</t>
  </si>
  <si>
    <t>12 m + antigos</t>
  </si>
  <si>
    <t>12 m + recentes</t>
  </si>
  <si>
    <t>12 previsões</t>
  </si>
  <si>
    <t>12 Estoques Segurança</t>
  </si>
  <si>
    <t>previsões + estoques segurança</t>
  </si>
  <si>
    <t>classe de pedidos</t>
  </si>
  <si>
    <t>classe de valores</t>
  </si>
  <si>
    <t>demanda do mês 24</t>
  </si>
  <si>
    <t>demanda do mês 23</t>
  </si>
  <si>
    <t>demanda do mês 22</t>
  </si>
  <si>
    <t>demanda do mês 21</t>
  </si>
  <si>
    <t>demanda do mês 20</t>
  </si>
  <si>
    <t>demanda do mês 19</t>
  </si>
  <si>
    <t>demanda do mês 18</t>
  </si>
  <si>
    <t>demanda do mês 17</t>
  </si>
  <si>
    <t>demanda do mês 16</t>
  </si>
  <si>
    <t>demanda do mês 15</t>
  </si>
  <si>
    <t>demanda do mês 14</t>
  </si>
  <si>
    <t>demanda do mês 13</t>
  </si>
  <si>
    <t>demanda do mês 12</t>
  </si>
  <si>
    <t>demanda do mês 11</t>
  </si>
  <si>
    <t>demanda do mês 10</t>
  </si>
  <si>
    <t>demanda do mês 9</t>
  </si>
  <si>
    <t>demanda do mês 8</t>
  </si>
  <si>
    <t>demanda do mês 7</t>
  </si>
  <si>
    <t>demanda do mês 6</t>
  </si>
  <si>
    <t>demanda do mês 5</t>
  </si>
  <si>
    <t>demanda do mês 4</t>
  </si>
  <si>
    <t>demanda do mês 3</t>
  </si>
  <si>
    <t>demanda do mês 2</t>
  </si>
  <si>
    <t>demanda do mês 1</t>
  </si>
  <si>
    <t>previsão mês corrente</t>
  </si>
  <si>
    <t>previsão mês corrente + 1</t>
  </si>
  <si>
    <t>previsão mês corrente + 2</t>
  </si>
  <si>
    <t>previsão mês corrente + 3</t>
  </si>
  <si>
    <t>previsão mês corrente + 4</t>
  </si>
  <si>
    <t>previsão mês corrente + 5</t>
  </si>
  <si>
    <t>previsão mês corrente + 6</t>
  </si>
  <si>
    <t>previsão mês corrente + 7</t>
  </si>
  <si>
    <t>previsão mês corrente + 8</t>
  </si>
  <si>
    <t>previsão mês corrente + 9</t>
  </si>
  <si>
    <t>previsão mês corrente + 10</t>
  </si>
  <si>
    <t>previsão mês corrente + 11</t>
  </si>
  <si>
    <t>classe ABC pedidos</t>
  </si>
  <si>
    <t>classe ABC valores</t>
  </si>
  <si>
    <t>Estoque segurança mês corrente</t>
  </si>
  <si>
    <t>Estoque segurança mês corrente + 1</t>
  </si>
  <si>
    <t>Estoque segurança mês corrente + 2</t>
  </si>
  <si>
    <t>Estoque segurança mês corrente + 3</t>
  </si>
  <si>
    <t>Estoque segurança mês corrente + 4</t>
  </si>
  <si>
    <t>Estoque segurança mês corrente + 5</t>
  </si>
  <si>
    <t>Estoque segurança mês corrente + 6</t>
  </si>
  <si>
    <t>Estoque segurança mês corrente + 7</t>
  </si>
  <si>
    <t>Estoque segurança mês corrente + 8</t>
  </si>
  <si>
    <t>Estoque segurança mês corrente + 9</t>
  </si>
  <si>
    <t>Estoque segurança mês corrente + 10</t>
  </si>
  <si>
    <t>Estoque segurança mês corrente + 11</t>
  </si>
  <si>
    <t>AR003122</t>
  </si>
  <si>
    <t>Como funciona: da aba "Base de Dados", copie a linha que contém os dados do SKU que você deseja analisar e cole na linha 5 desta aba. Pronto! Agora é so olhar a aba "Grafico".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</si>
</sst>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Demandas - Previsões - Estoques Segurança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grafico!$C$5</c:f>
              <c:strCache>
                <c:ptCount val="1"/>
                <c:pt idx="0">
                  <c:v>12 m + antigos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grafico!$D$5:$O$5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6-44BE-9147-085298DEF3FC}"/>
            </c:ext>
          </c:extLst>
        </c:ser>
        <c:ser>
          <c:idx val="1"/>
          <c:order val="1"/>
          <c:tx>
            <c:strRef>
              <c:f>grafico!$C$6</c:f>
              <c:strCache>
                <c:ptCount val="1"/>
                <c:pt idx="0">
                  <c:v>12 m + recentes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grafico!$D$6:$AA$6</c:f>
              <c:numCache>
                <c:formatCode>General</c:formatCode>
                <c:ptCount val="24"/>
                <c:pt idx="11">
                  <c:v>0</c:v>
                </c:pt>
                <c:pt idx="12">
                  <c:v>0</c:v>
                </c:pt>
                <c:pt idx="13">
                  <c:v>4400</c:v>
                </c:pt>
                <c:pt idx="14">
                  <c:v>1500</c:v>
                </c:pt>
                <c:pt idx="15">
                  <c:v>2200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400</c:v>
                </c:pt>
                <c:pt idx="21">
                  <c:v>1200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D6-44BE-9147-085298DEF3FC}"/>
            </c:ext>
          </c:extLst>
        </c:ser>
        <c:ser>
          <c:idx val="2"/>
          <c:order val="2"/>
          <c:tx>
            <c:strRef>
              <c:f>grafico!$C$7</c:f>
              <c:strCache>
                <c:ptCount val="1"/>
                <c:pt idx="0">
                  <c:v>12 previsões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grafico!$D$7:$AM$7</c:f>
              <c:numCache>
                <c:formatCode>General</c:formatCode>
                <c:ptCount val="36"/>
                <c:pt idx="23">
                  <c:v>0</c:v>
                </c:pt>
                <c:pt idx="24">
                  <c:v>403</c:v>
                </c:pt>
                <c:pt idx="25">
                  <c:v>403</c:v>
                </c:pt>
                <c:pt idx="26">
                  <c:v>403</c:v>
                </c:pt>
                <c:pt idx="27">
                  <c:v>403</c:v>
                </c:pt>
                <c:pt idx="28">
                  <c:v>403</c:v>
                </c:pt>
                <c:pt idx="29">
                  <c:v>403</c:v>
                </c:pt>
                <c:pt idx="30">
                  <c:v>403</c:v>
                </c:pt>
                <c:pt idx="31">
                  <c:v>403</c:v>
                </c:pt>
                <c:pt idx="32">
                  <c:v>403</c:v>
                </c:pt>
                <c:pt idx="33">
                  <c:v>403</c:v>
                </c:pt>
                <c:pt idx="34">
                  <c:v>403</c:v>
                </c:pt>
                <c:pt idx="35">
                  <c:v>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D6-44BE-9147-085298DEF3FC}"/>
            </c:ext>
          </c:extLst>
        </c:ser>
        <c:ser>
          <c:idx val="3"/>
          <c:order val="3"/>
          <c:tx>
            <c:strRef>
              <c:f>grafico!$C$9</c:f>
              <c:strCache>
                <c:ptCount val="1"/>
                <c:pt idx="0">
                  <c:v>previsões + estoques segurança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grafico!$D$9:$AM$9</c:f>
              <c:numCache>
                <c:formatCode>General</c:formatCode>
                <c:ptCount val="36"/>
                <c:pt idx="24">
                  <c:v>5077</c:v>
                </c:pt>
                <c:pt idx="25">
                  <c:v>5077</c:v>
                </c:pt>
                <c:pt idx="26">
                  <c:v>5077</c:v>
                </c:pt>
                <c:pt idx="27">
                  <c:v>5077</c:v>
                </c:pt>
                <c:pt idx="28">
                  <c:v>5077</c:v>
                </c:pt>
                <c:pt idx="29">
                  <c:v>5077</c:v>
                </c:pt>
                <c:pt idx="30">
                  <c:v>5077</c:v>
                </c:pt>
                <c:pt idx="31">
                  <c:v>5077</c:v>
                </c:pt>
                <c:pt idx="32">
                  <c:v>5077</c:v>
                </c:pt>
                <c:pt idx="33">
                  <c:v>5077</c:v>
                </c:pt>
                <c:pt idx="34">
                  <c:v>5077</c:v>
                </c:pt>
                <c:pt idx="35">
                  <c:v>5077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D6-44BE-9147-085298DEF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916239"/>
        <c:axId val="597537103"/>
      </c:lineChart>
      <c:catAx>
        <c:axId val="604916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7537103"/>
        <c:crosses val="autoZero"/>
        <c:auto val="1"/>
        <c:lblAlgn val="ctr"/>
        <c:lblOffset val="100"/>
        <c:noMultiLvlLbl val="0"/>
      </c:catAx>
      <c:valAx>
        <c:axId val="59753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491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1587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849630</xdr:colOff>
      <xdr:row>10</xdr:row>
      <xdr:rowOff>22860</xdr:rowOff>
    </xdr:from>
    <xdr:to>
      <xdr:col>10</xdr:col>
      <xdr:colOff>662940</xdr:colOff>
      <xdr:row>25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81A61F-37AA-DEA5-51EE-F2A206E57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AD4B-45E3-4991-981A-01493B302F9E}">
  <dimension ref="A1:BD5"/>
  <sheetViews>
    <sheetView workbookViewId="0">
      <selection activeCell="D20" sqref="D20"/>
    </sheetView>
  </sheetViews>
  <sheetFormatPr defaultRowHeight="13.8"/>
  <cols>
    <col min="1" max="2" width="8.5" bestFit="1" customWidth="1"/>
    <col min="3" max="3" width="13" customWidth="1"/>
    <col min="4" max="27" width="10.796875" bestFit="1" customWidth="1"/>
    <col min="28" max="28" width="11.5" customWidth="1"/>
    <col min="29" max="37" width="11.5" bestFit="1" customWidth="1"/>
    <col min="38" max="39" width="11.59765625" bestFit="1" customWidth="1"/>
    <col min="40" max="41" width="10.09765625" bestFit="1" customWidth="1"/>
    <col min="42" max="53" width="16.5" bestFit="1" customWidth="1"/>
    <col min="54" max="54" width="12.19921875" bestFit="1" customWidth="1"/>
    <col min="55" max="55" width="11.8984375" bestFit="1" customWidth="1"/>
    <col min="56" max="56" width="12.09765625" bestFit="1" customWidth="1"/>
  </cols>
  <sheetData>
    <row r="1" spans="1:56" ht="15.6">
      <c r="A1" s="4" t="s">
        <v>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4" spans="1:56" s="1" customFormat="1" ht="33.6" customHeight="1">
      <c r="A4" s="1" t="s">
        <v>10</v>
      </c>
      <c r="B4" s="1" t="s">
        <v>11</v>
      </c>
      <c r="C4" s="2" t="s">
        <v>0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29</v>
      </c>
      <c r="V4" s="1" t="s">
        <v>30</v>
      </c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 t="s">
        <v>42</v>
      </c>
      <c r="AI4" s="1" t="s">
        <v>43</v>
      </c>
      <c r="AJ4" s="1" t="s">
        <v>44</v>
      </c>
      <c r="AK4" s="1" t="s">
        <v>45</v>
      </c>
      <c r="AL4" s="1" t="s">
        <v>46</v>
      </c>
      <c r="AM4" s="1" t="s">
        <v>47</v>
      </c>
      <c r="AN4" s="1" t="s">
        <v>48</v>
      </c>
      <c r="AO4" s="1" t="s">
        <v>49</v>
      </c>
      <c r="AP4" s="1" t="s">
        <v>50</v>
      </c>
      <c r="AQ4" s="1" t="s">
        <v>51</v>
      </c>
      <c r="AR4" s="1" t="s">
        <v>52</v>
      </c>
      <c r="AS4" s="1" t="s">
        <v>53</v>
      </c>
      <c r="AT4" s="1" t="s">
        <v>54</v>
      </c>
      <c r="AU4" s="1" t="s">
        <v>55</v>
      </c>
      <c r="AV4" s="1" t="s">
        <v>56</v>
      </c>
      <c r="AW4" s="1" t="s">
        <v>57</v>
      </c>
      <c r="AX4" s="1" t="s">
        <v>58</v>
      </c>
      <c r="AY4" s="1" t="s">
        <v>59</v>
      </c>
      <c r="AZ4" s="1" t="s">
        <v>60</v>
      </c>
      <c r="BA4" s="1" t="s">
        <v>61</v>
      </c>
      <c r="BB4" s="1" t="s">
        <v>1</v>
      </c>
      <c r="BC4" s="1" t="s">
        <v>2</v>
      </c>
      <c r="BD4" s="1" t="s">
        <v>3</v>
      </c>
    </row>
    <row r="5" spans="1:56">
      <c r="A5" t="s">
        <v>4</v>
      </c>
      <c r="B5" t="s">
        <v>4</v>
      </c>
      <c r="C5" t="s">
        <v>62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4400</v>
      </c>
      <c r="R5">
        <v>1500</v>
      </c>
      <c r="S5">
        <v>2200</v>
      </c>
      <c r="T5">
        <v>0</v>
      </c>
      <c r="U5">
        <v>0</v>
      </c>
      <c r="V5">
        <v>0</v>
      </c>
      <c r="W5">
        <v>0</v>
      </c>
      <c r="X5">
        <v>400</v>
      </c>
      <c r="Y5">
        <v>1200</v>
      </c>
      <c r="Z5">
        <v>0</v>
      </c>
      <c r="AA5">
        <v>0</v>
      </c>
      <c r="AB5">
        <v>403</v>
      </c>
      <c r="AC5">
        <v>403</v>
      </c>
      <c r="AD5">
        <v>403</v>
      </c>
      <c r="AE5">
        <v>403</v>
      </c>
      <c r="AF5">
        <v>403</v>
      </c>
      <c r="AG5">
        <v>403</v>
      </c>
      <c r="AH5">
        <v>403</v>
      </c>
      <c r="AI5">
        <v>403</v>
      </c>
      <c r="AJ5">
        <v>403</v>
      </c>
      <c r="AK5">
        <v>403</v>
      </c>
      <c r="AL5">
        <v>403</v>
      </c>
      <c r="AM5">
        <v>403</v>
      </c>
      <c r="AN5" t="s">
        <v>4</v>
      </c>
      <c r="AO5" t="s">
        <v>4</v>
      </c>
      <c r="AP5">
        <v>4674</v>
      </c>
      <c r="AQ5">
        <v>4674</v>
      </c>
      <c r="AR5">
        <v>4674</v>
      </c>
      <c r="AS5">
        <v>4674</v>
      </c>
      <c r="AT5">
        <v>4674</v>
      </c>
      <c r="AU5">
        <v>4674</v>
      </c>
      <c r="AV5">
        <v>4674</v>
      </c>
      <c r="AW5">
        <v>4674</v>
      </c>
      <c r="AX5">
        <v>4674</v>
      </c>
      <c r="AY5">
        <v>4674</v>
      </c>
      <c r="AZ5">
        <v>4674</v>
      </c>
      <c r="BA5">
        <v>4674</v>
      </c>
      <c r="BB5">
        <v>1000</v>
      </c>
      <c r="BC5">
        <v>120</v>
      </c>
      <c r="BD5">
        <v>4.9135</v>
      </c>
    </row>
  </sheetData>
  <mergeCells count="1">
    <mergeCell ref="A1:R1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CF6F-C5D2-40BF-945A-6B1FEB77600C}">
  <dimension ref="A1:BD9"/>
  <sheetViews>
    <sheetView tabSelected="1" workbookViewId="0">
      <selection activeCell="M16" sqref="M16"/>
    </sheetView>
  </sheetViews>
  <sheetFormatPr defaultRowHeight="13.8"/>
  <cols>
    <col min="1" max="1" width="12.296875" bestFit="1" customWidth="1"/>
    <col min="2" max="2" width="11.796875" bestFit="1" customWidth="1"/>
    <col min="3" max="3" width="15.796875" customWidth="1"/>
    <col min="4" max="18" width="12.296875" bestFit="1" customWidth="1"/>
    <col min="19" max="27" width="11.296875" bestFit="1" customWidth="1"/>
    <col min="28" max="28" width="6.69921875" customWidth="1"/>
    <col min="29" max="37" width="9.69921875" bestFit="1" customWidth="1"/>
    <col min="38" max="39" width="10.69921875" bestFit="1" customWidth="1"/>
    <col min="40" max="40" width="16.296875" bestFit="1" customWidth="1"/>
    <col min="41" max="41" width="15.796875" bestFit="1" customWidth="1"/>
    <col min="42" max="42" width="14.796875" bestFit="1" customWidth="1"/>
    <col min="43" max="51" width="12.59765625" bestFit="1" customWidth="1"/>
    <col min="52" max="53" width="13.69921875" bestFit="1" customWidth="1"/>
    <col min="54" max="54" width="12.19921875" bestFit="1" customWidth="1"/>
    <col min="55" max="55" width="11.8984375" bestFit="1" customWidth="1"/>
    <col min="56" max="56" width="12.09765625" bestFit="1" customWidth="1"/>
  </cols>
  <sheetData>
    <row r="1" spans="1:56" ht="34.200000000000003" customHeight="1">
      <c r="A1" s="1" t="s">
        <v>10</v>
      </c>
      <c r="B1" s="1" t="s">
        <v>11</v>
      </c>
      <c r="C1" s="3" t="s">
        <v>0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1</v>
      </c>
      <c r="BC1" s="1" t="s">
        <v>2</v>
      </c>
      <c r="BD1" s="1" t="s">
        <v>3</v>
      </c>
    </row>
    <row r="2" spans="1:56">
      <c r="A2">
        <f>I8</f>
        <v>0</v>
      </c>
      <c r="B2" t="str">
        <f>escolha_do_sku!B5</f>
        <v>A</v>
      </c>
      <c r="C2" t="str">
        <f>escolha_do_sku!C5</f>
        <v>AR003122</v>
      </c>
      <c r="D2">
        <f>escolha_do_sku!D5</f>
        <v>0</v>
      </c>
      <c r="E2">
        <f>escolha_do_sku!E5</f>
        <v>0</v>
      </c>
      <c r="F2">
        <f>escolha_do_sku!F5</f>
        <v>0</v>
      </c>
      <c r="G2">
        <f>escolha_do_sku!G5</f>
        <v>0</v>
      </c>
      <c r="H2">
        <f>escolha_do_sku!H5</f>
        <v>0</v>
      </c>
      <c r="I2">
        <f>escolha_do_sku!I5</f>
        <v>0</v>
      </c>
      <c r="J2">
        <f>escolha_do_sku!J5</f>
        <v>0</v>
      </c>
      <c r="K2">
        <f>escolha_do_sku!K5</f>
        <v>0</v>
      </c>
      <c r="L2">
        <f>escolha_do_sku!L5</f>
        <v>0</v>
      </c>
      <c r="M2">
        <f>escolha_do_sku!M5</f>
        <v>0</v>
      </c>
      <c r="N2">
        <f>escolha_do_sku!N5</f>
        <v>0</v>
      </c>
      <c r="O2">
        <f>escolha_do_sku!O5</f>
        <v>0</v>
      </c>
      <c r="P2">
        <f>escolha_do_sku!P5</f>
        <v>0</v>
      </c>
      <c r="Q2">
        <f>escolha_do_sku!Q5</f>
        <v>4400</v>
      </c>
      <c r="R2">
        <f>escolha_do_sku!R5</f>
        <v>1500</v>
      </c>
      <c r="S2">
        <f>escolha_do_sku!S5</f>
        <v>2200</v>
      </c>
      <c r="T2">
        <f>escolha_do_sku!T5</f>
        <v>0</v>
      </c>
      <c r="U2">
        <f>escolha_do_sku!U5</f>
        <v>0</v>
      </c>
      <c r="V2">
        <f>escolha_do_sku!V5</f>
        <v>0</v>
      </c>
      <c r="W2">
        <f>escolha_do_sku!W5</f>
        <v>0</v>
      </c>
      <c r="X2">
        <f>escolha_do_sku!X5</f>
        <v>400</v>
      </c>
      <c r="Y2">
        <f>escolha_do_sku!Y5</f>
        <v>1200</v>
      </c>
      <c r="Z2">
        <f>escolha_do_sku!Z5</f>
        <v>0</v>
      </c>
      <c r="AA2">
        <f>escolha_do_sku!AA5</f>
        <v>0</v>
      </c>
      <c r="AB2">
        <f>escolha_do_sku!AB5</f>
        <v>403</v>
      </c>
      <c r="AC2">
        <f>escolha_do_sku!AC5</f>
        <v>403</v>
      </c>
      <c r="AD2">
        <f>escolha_do_sku!AD5</f>
        <v>403</v>
      </c>
      <c r="AE2">
        <f>escolha_do_sku!AE5</f>
        <v>403</v>
      </c>
      <c r="AF2">
        <f>escolha_do_sku!AF5</f>
        <v>403</v>
      </c>
      <c r="AG2">
        <f>escolha_do_sku!AG5</f>
        <v>403</v>
      </c>
      <c r="AH2">
        <f>escolha_do_sku!AH5</f>
        <v>403</v>
      </c>
      <c r="AI2">
        <f>escolha_do_sku!AI5</f>
        <v>403</v>
      </c>
      <c r="AJ2">
        <f>escolha_do_sku!AJ5</f>
        <v>403</v>
      </c>
      <c r="AK2">
        <f>escolha_do_sku!AK5</f>
        <v>403</v>
      </c>
      <c r="AL2">
        <f>escolha_do_sku!AL5</f>
        <v>403</v>
      </c>
      <c r="AM2">
        <f>escolha_do_sku!AM5</f>
        <v>403</v>
      </c>
      <c r="AN2" t="str">
        <f>escolha_do_sku!AN5</f>
        <v>A</v>
      </c>
      <c r="AO2" t="str">
        <f>escolha_do_sku!AO5</f>
        <v>A</v>
      </c>
      <c r="AP2">
        <f>escolha_do_sku!AP5</f>
        <v>4674</v>
      </c>
      <c r="AQ2">
        <f>escolha_do_sku!AQ5</f>
        <v>4674</v>
      </c>
      <c r="AR2">
        <f>escolha_do_sku!AR5</f>
        <v>4674</v>
      </c>
      <c r="AS2">
        <f>escolha_do_sku!AS5</f>
        <v>4674</v>
      </c>
      <c r="AT2">
        <f>escolha_do_sku!AT5</f>
        <v>4674</v>
      </c>
      <c r="AU2">
        <f>escolha_do_sku!AU5</f>
        <v>4674</v>
      </c>
      <c r="AV2">
        <f>escolha_do_sku!AV5</f>
        <v>4674</v>
      </c>
      <c r="AW2">
        <f>escolha_do_sku!AW5</f>
        <v>4674</v>
      </c>
      <c r="AX2">
        <f>escolha_do_sku!AX5</f>
        <v>4674</v>
      </c>
      <c r="AY2">
        <f>escolha_do_sku!AY5</f>
        <v>4674</v>
      </c>
      <c r="AZ2">
        <f>escolha_do_sku!AZ5</f>
        <v>4674</v>
      </c>
      <c r="BA2">
        <f>escolha_do_sku!BA5</f>
        <v>4674</v>
      </c>
      <c r="BB2">
        <f>escolha_do_sku!BB5</f>
        <v>1000</v>
      </c>
      <c r="BC2">
        <f>escolha_do_sku!BC5</f>
        <v>120</v>
      </c>
      <c r="BD2">
        <f>escolha_do_sku!BD5</f>
        <v>4.9135</v>
      </c>
    </row>
    <row r="5" spans="1:56">
      <c r="C5" t="s">
        <v>5</v>
      </c>
      <c r="D5">
        <f>D2</f>
        <v>0</v>
      </c>
      <c r="E5">
        <f t="shared" ref="E5:O5" si="0">E2</f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</row>
    <row r="6" spans="1:56">
      <c r="C6" t="s">
        <v>6</v>
      </c>
      <c r="O6">
        <f>O5</f>
        <v>0</v>
      </c>
      <c r="P6">
        <f>P2</f>
        <v>0</v>
      </c>
      <c r="Q6">
        <f t="shared" ref="Q6:AA6" si="1">Q2</f>
        <v>4400</v>
      </c>
      <c r="R6">
        <f t="shared" si="1"/>
        <v>1500</v>
      </c>
      <c r="S6">
        <f t="shared" si="1"/>
        <v>2200</v>
      </c>
      <c r="T6">
        <f t="shared" si="1"/>
        <v>0</v>
      </c>
      <c r="U6">
        <f t="shared" si="1"/>
        <v>0</v>
      </c>
      <c r="V6">
        <f t="shared" si="1"/>
        <v>0</v>
      </c>
      <c r="W6">
        <f t="shared" si="1"/>
        <v>0</v>
      </c>
      <c r="X6">
        <f t="shared" si="1"/>
        <v>400</v>
      </c>
      <c r="Y6">
        <f t="shared" si="1"/>
        <v>1200</v>
      </c>
      <c r="Z6">
        <f t="shared" si="1"/>
        <v>0</v>
      </c>
      <c r="AA6">
        <f t="shared" si="1"/>
        <v>0</v>
      </c>
    </row>
    <row r="7" spans="1:56">
      <c r="C7" t="s">
        <v>7</v>
      </c>
      <c r="AA7">
        <f>AA6</f>
        <v>0</v>
      </c>
      <c r="AB7">
        <f>AB2</f>
        <v>403</v>
      </c>
      <c r="AC7">
        <f t="shared" ref="AC7:AM7" si="2">AC2</f>
        <v>403</v>
      </c>
      <c r="AD7">
        <f t="shared" si="2"/>
        <v>403</v>
      </c>
      <c r="AE7">
        <f t="shared" si="2"/>
        <v>403</v>
      </c>
      <c r="AF7">
        <f t="shared" si="2"/>
        <v>403</v>
      </c>
      <c r="AG7">
        <f t="shared" si="2"/>
        <v>403</v>
      </c>
      <c r="AH7">
        <f t="shared" si="2"/>
        <v>403</v>
      </c>
      <c r="AI7">
        <f t="shared" si="2"/>
        <v>403</v>
      </c>
      <c r="AJ7">
        <f t="shared" si="2"/>
        <v>403</v>
      </c>
      <c r="AK7">
        <f t="shared" si="2"/>
        <v>403</v>
      </c>
      <c r="AL7">
        <f t="shared" si="2"/>
        <v>403</v>
      </c>
      <c r="AM7">
        <f t="shared" si="2"/>
        <v>403</v>
      </c>
    </row>
    <row r="8" spans="1:56">
      <c r="C8" t="s">
        <v>8</v>
      </c>
      <c r="AB8">
        <f>AP2</f>
        <v>4674</v>
      </c>
      <c r="AC8">
        <f t="shared" ref="AC8:AM8" si="3">AQ2</f>
        <v>4674</v>
      </c>
      <c r="AD8">
        <f t="shared" si="3"/>
        <v>4674</v>
      </c>
      <c r="AE8">
        <f t="shared" si="3"/>
        <v>4674</v>
      </c>
      <c r="AF8">
        <f t="shared" si="3"/>
        <v>4674</v>
      </c>
      <c r="AG8">
        <f t="shared" si="3"/>
        <v>4674</v>
      </c>
      <c r="AH8">
        <f t="shared" si="3"/>
        <v>4674</v>
      </c>
      <c r="AI8">
        <f t="shared" si="3"/>
        <v>4674</v>
      </c>
      <c r="AJ8">
        <f t="shared" si="3"/>
        <v>4674</v>
      </c>
      <c r="AK8">
        <f t="shared" si="3"/>
        <v>4674</v>
      </c>
      <c r="AL8">
        <f t="shared" si="3"/>
        <v>4674</v>
      </c>
      <c r="AM8">
        <f t="shared" si="3"/>
        <v>4674</v>
      </c>
    </row>
    <row r="9" spans="1:56">
      <c r="C9" t="s">
        <v>9</v>
      </c>
      <c r="AB9">
        <f>SUM(AB7:AB8)</f>
        <v>5077</v>
      </c>
      <c r="AC9">
        <f t="shared" ref="AC9:AM9" si="4">SUM(AC7:AC8)</f>
        <v>5077</v>
      </c>
      <c r="AD9">
        <f t="shared" si="4"/>
        <v>5077</v>
      </c>
      <c r="AE9">
        <f t="shared" si="4"/>
        <v>5077</v>
      </c>
      <c r="AF9">
        <f t="shared" si="4"/>
        <v>5077</v>
      </c>
      <c r="AG9">
        <f t="shared" si="4"/>
        <v>5077</v>
      </c>
      <c r="AH9">
        <f t="shared" si="4"/>
        <v>5077</v>
      </c>
      <c r="AI9">
        <f t="shared" si="4"/>
        <v>5077</v>
      </c>
      <c r="AJ9">
        <f t="shared" si="4"/>
        <v>5077</v>
      </c>
      <c r="AK9">
        <f t="shared" si="4"/>
        <v>5077</v>
      </c>
      <c r="AL9">
        <f t="shared" si="4"/>
        <v>5077</v>
      </c>
      <c r="AM9">
        <f t="shared" si="4"/>
        <v>5077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escolha_do_sku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lima</dc:creator>
  <cp:lastModifiedBy>vladimir lima</cp:lastModifiedBy>
  <dcterms:created xsi:type="dcterms:W3CDTF">2026-10-27T16:22:59Z</dcterms:created>
  <dcterms:modified xsi:type="dcterms:W3CDTF">2026-10-28T15:58:44Z</dcterms:modified>
</cp:coreProperties>
</file>